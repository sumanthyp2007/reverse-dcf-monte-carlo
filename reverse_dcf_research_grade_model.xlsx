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WACC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Read Me" sheetId="6" state="visible" r:id="rId6"/>
    <sheet xmlns:r="http://schemas.openxmlformats.org/officeDocument/2006/relationships" name="Source Log" sheetId="7" state="visible" r:id="rId7"/>
    <sheet xmlns:r="http://schemas.openxmlformats.org/officeDocument/2006/relationships" name="Peer Sets" sheetId="8" state="visible" r:id="rId8"/>
    <sheet xmlns:r="http://schemas.openxmlformats.org/officeDocument/2006/relationships" name="Historical Data" sheetId="9" state="visible" r:id="rId9"/>
    <sheet xmlns:r="http://schemas.openxmlformats.org/officeDocument/2006/relationships" name="Scenario Analysis" sheetId="10" state="visible" r:id="rId10"/>
    <sheet xmlns:r="http://schemas.openxmlformats.org/officeDocument/2006/relationships" name="Model Gover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;[Red](#,##0.00);-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74" customWidth="1" min="5" max="5"/>
  </cols>
  <sheetData>
    <row r="1">
      <c r="A1" s="1" t="inlineStr">
        <is>
          <t>Input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NVDA</t>
        </is>
      </c>
      <c r="E1" s="1" t="inlineStr">
        <is>
          <t>Definition / source note</t>
        </is>
      </c>
    </row>
    <row r="2">
      <c r="A2" t="inlineStr">
        <is>
          <t>Ticker</t>
        </is>
      </c>
      <c r="B2" s="2" t="inlineStr">
        <is>
          <t>AAPL</t>
        </is>
      </c>
      <c r="C2" s="2" t="inlineStr">
        <is>
          <t>MSFT</t>
        </is>
      </c>
      <c r="D2" s="2" t="inlineStr">
        <is>
          <t>NVDA</t>
        </is>
      </c>
      <c r="E2" t="inlineStr">
        <is>
          <t>Example tickers</t>
        </is>
      </c>
    </row>
    <row r="3">
      <c r="A3" t="inlineStr">
        <is>
          <t>Share price ($)</t>
        </is>
      </c>
      <c r="B3" s="2" t="n">
        <v>230</v>
      </c>
      <c r="C3" s="2" t="n">
        <v>510</v>
      </c>
      <c r="D3" s="2" t="n">
        <v>180</v>
      </c>
      <c r="E3" t="inlineStr">
        <is>
          <t>ILLUSTRATIVE PLACEHOLDERS; refresh from a current source</t>
        </is>
      </c>
    </row>
    <row r="4">
      <c r="A4" t="inlineStr">
        <is>
          <t>Diluted shares (bn)</t>
        </is>
      </c>
      <c r="B4" s="2" t="n">
        <v>15.1</v>
      </c>
      <c r="C4" s="2" t="n">
        <v>7.43</v>
      </c>
      <c r="D4" s="2" t="n">
        <v>24.5</v>
      </c>
      <c r="E4" t="inlineStr">
        <is>
          <t>ILLUSTRATIVE; verify filings/provider</t>
        </is>
      </c>
    </row>
    <row r="5">
      <c r="A5" t="inlineStr">
        <is>
          <t>Cash &amp; short-term investments ($bn)</t>
        </is>
      </c>
      <c r="B5" s="2" t="n">
        <v>65</v>
      </c>
      <c r="C5" s="2" t="n">
        <v>80</v>
      </c>
      <c r="D5" s="2" t="n">
        <v>50</v>
      </c>
      <c r="E5" t="inlineStr">
        <is>
          <t>ILLUSTRATIVE</t>
        </is>
      </c>
    </row>
    <row r="6">
      <c r="A6" t="inlineStr">
        <is>
          <t>Total debt ($bn)</t>
        </is>
      </c>
      <c r="B6" s="2" t="n">
        <v>100</v>
      </c>
      <c r="C6" s="2" t="n">
        <v>80</v>
      </c>
      <c r="D6" s="2" t="n">
        <v>10</v>
      </c>
      <c r="E6" t="inlineStr">
        <is>
          <t>ILLUSTRATIVE</t>
        </is>
      </c>
    </row>
    <row r="7">
      <c r="A7" t="inlineStr">
        <is>
          <t>Revenue latest FY ($bn)</t>
        </is>
      </c>
      <c r="B7" s="2" t="n">
        <v>391</v>
      </c>
      <c r="C7" s="2" t="n">
        <v>281</v>
      </c>
      <c r="D7" s="2" t="n">
        <v>130</v>
      </c>
      <c r="E7" t="inlineStr">
        <is>
          <t>ILLUSTRATIVE</t>
        </is>
      </c>
    </row>
    <row r="8">
      <c r="A8" t="inlineStr">
        <is>
          <t>EBIT margin</t>
        </is>
      </c>
      <c r="B8" s="3" t="n">
        <v>0.3</v>
      </c>
      <c r="C8" s="3" t="n">
        <v>0.45</v>
      </c>
      <c r="D8" s="3" t="n">
        <v>0.6</v>
      </c>
      <c r="E8" t="inlineStr">
        <is>
          <t>ILLUSTRATIVE</t>
        </is>
      </c>
    </row>
    <row r="9">
      <c r="A9" t="inlineStr">
        <is>
          <t>Tax rate</t>
        </is>
      </c>
      <c r="B9" s="3" t="n">
        <v>0.16</v>
      </c>
      <c r="C9" s="3" t="n">
        <v>0.18</v>
      </c>
      <c r="D9" s="3" t="n">
        <v>0.15</v>
      </c>
      <c r="E9" t="inlineStr">
        <is>
          <t>Normalized effective tax rate</t>
        </is>
      </c>
    </row>
    <row r="10">
      <c r="A10" t="inlineStr">
        <is>
          <t>D&amp;A / revenue</t>
        </is>
      </c>
      <c r="B10" s="3" t="n">
        <v>0.03</v>
      </c>
      <c r="C10" s="3" t="n">
        <v>0.04</v>
      </c>
      <c r="D10" s="3" t="n">
        <v>0.02</v>
      </c>
      <c r="E10" t="inlineStr">
        <is>
          <t>Historical normalized assumption</t>
        </is>
      </c>
    </row>
    <row r="11">
      <c r="A11" t="inlineStr">
        <is>
          <t>Capex / revenue</t>
        </is>
      </c>
      <c r="B11" s="3" t="n">
        <v>0.03</v>
      </c>
      <c r="C11" s="3" t="n">
        <v>0.04</v>
      </c>
      <c r="D11" s="3" t="n">
        <v>0.05</v>
      </c>
      <c r="E11" t="inlineStr">
        <is>
          <t>Use positive capex %</t>
        </is>
      </c>
    </row>
    <row r="12">
      <c r="A12" t="inlineStr">
        <is>
          <t>Change in NWC / incremental revenue</t>
        </is>
      </c>
      <c r="B12" s="3" t="n">
        <v>0.01</v>
      </c>
      <c r="C12" s="3" t="n">
        <v>0.01</v>
      </c>
      <c r="D12" s="3" t="n">
        <v>0.02</v>
      </c>
      <c r="E12" t="inlineStr">
        <is>
          <t>Positive means cash investment</t>
        </is>
      </c>
    </row>
    <row r="13">
      <c r="A13" t="inlineStr">
        <is>
          <t>Risk-free rate</t>
        </is>
      </c>
      <c r="B13" s="3" t="n">
        <v>0.042</v>
      </c>
      <c r="C13" s="3" t="n">
        <v>0.042</v>
      </c>
      <c r="D13" s="3" t="n">
        <v>0.042</v>
      </c>
      <c r="E13" t="inlineStr">
        <is>
          <t>Update from a current government yield</t>
        </is>
      </c>
    </row>
    <row r="14">
      <c r="A14" t="inlineStr">
        <is>
          <t>Equity risk premium</t>
        </is>
      </c>
      <c r="B14" s="3" t="n">
        <v>0.05</v>
      </c>
      <c r="C14" s="3" t="n">
        <v>0.05</v>
      </c>
      <c r="D14" s="3" t="n">
        <v>0.05</v>
      </c>
      <c r="E14" t="inlineStr">
        <is>
          <t>Analyst assumption; document source</t>
        </is>
      </c>
    </row>
    <row r="15">
      <c r="A15" t="inlineStr">
        <is>
          <t>Beta</t>
        </is>
      </c>
      <c r="B15" s="3" t="n">
        <v>1.2</v>
      </c>
      <c r="C15" s="3" t="n">
        <v>0.9</v>
      </c>
      <c r="D15" s="3" t="n">
        <v>1.7</v>
      </c>
      <c r="E15" t="inlineStr">
        <is>
          <t>Illustrative; verify</t>
        </is>
      </c>
    </row>
    <row r="16">
      <c r="A16" t="inlineStr">
        <is>
          <t>Pre-tax cost of debt</t>
        </is>
      </c>
      <c r="B16" s="3" t="n">
        <v>0.045</v>
      </c>
      <c r="C16" s="3" t="n">
        <v>0.045</v>
      </c>
      <c r="D16" s="3" t="n">
        <v>0.05</v>
      </c>
      <c r="E16" t="inlineStr">
        <is>
          <t>Estimate from debt/yield data</t>
        </is>
      </c>
    </row>
    <row r="17">
      <c r="A17" t="inlineStr">
        <is>
          <t>Debt weight</t>
        </is>
      </c>
      <c r="B17" s="2" t="n">
        <v>0.2</v>
      </c>
      <c r="C17" s="2" t="n">
        <v>0.1</v>
      </c>
      <c r="D17" s="2" t="n">
        <v>0.03</v>
      </c>
      <c r="E17" t="inlineStr">
        <is>
          <t>Market-value debt/(debt+equity)</t>
        </is>
      </c>
    </row>
    <row r="18">
      <c r="A18" t="inlineStr">
        <is>
          <t>WACC override (optional)</t>
        </is>
      </c>
      <c r="B18" s="2" t="n">
        <v>0</v>
      </c>
      <c r="C18" s="2" t="n">
        <v>0</v>
      </c>
      <c r="D18" s="2" t="n">
        <v>0</v>
      </c>
      <c r="E18" t="inlineStr">
        <is>
          <t>0 uses CAPM-derived WACC; otherwise use override</t>
        </is>
      </c>
    </row>
    <row r="19">
      <c r="A19" t="inlineStr">
        <is>
          <t>Terminal growth</t>
        </is>
      </c>
      <c r="B19" s="3" t="n">
        <v>0.025</v>
      </c>
      <c r="C19" s="3" t="n">
        <v>0.025</v>
      </c>
      <c r="D19" s="3" t="n">
        <v>0.03</v>
      </c>
      <c r="E19" t="inlineStr">
        <is>
          <t>Must be below WACC</t>
        </is>
      </c>
    </row>
    <row r="20">
      <c r="A20" t="inlineStr">
        <is>
          <t>Revenue growth Y1</t>
        </is>
      </c>
      <c r="B20" s="3" t="n">
        <v>0.06</v>
      </c>
      <c r="C20" s="3" t="n">
        <v>0.12</v>
      </c>
      <c r="D20" s="3" t="n">
        <v>0.25</v>
      </c>
      <c r="E20" t="inlineStr">
        <is>
          <t>Illustrative forecast</t>
        </is>
      </c>
    </row>
    <row r="21">
      <c r="A21" t="inlineStr">
        <is>
          <t>Revenue growth Y2</t>
        </is>
      </c>
      <c r="B21" s="3" t="n">
        <v>0.06</v>
      </c>
      <c r="C21" s="3" t="n">
        <v>0.12</v>
      </c>
      <c r="D21" s="3" t="n">
        <v>0.22</v>
      </c>
      <c r="E21" t="inlineStr">
        <is>
          <t>Illustrative forecast</t>
        </is>
      </c>
    </row>
    <row r="22">
      <c r="A22" t="inlineStr">
        <is>
          <t>Revenue growth Y3</t>
        </is>
      </c>
      <c r="B22" s="3" t="n">
        <v>0.05</v>
      </c>
      <c r="C22" s="3" t="n">
        <v>0.1</v>
      </c>
      <c r="D22" s="3" t="n">
        <v>0.18</v>
      </c>
      <c r="E22" t="inlineStr">
        <is>
          <t>Illustrative forecast</t>
        </is>
      </c>
    </row>
    <row r="23">
      <c r="A23" t="inlineStr">
        <is>
          <t>Revenue growth Y4</t>
        </is>
      </c>
      <c r="B23" s="3" t="n">
        <v>0.04</v>
      </c>
      <c r="C23" s="3" t="n">
        <v>0.08</v>
      </c>
      <c r="D23" s="3" t="n">
        <v>0.14</v>
      </c>
      <c r="E23" t="inlineStr">
        <is>
          <t>Illustrative forecast</t>
        </is>
      </c>
    </row>
    <row r="24">
      <c r="A24" t="inlineStr">
        <is>
          <t>Revenue growth Y5</t>
        </is>
      </c>
      <c r="B24" s="3" t="n">
        <v>0.03</v>
      </c>
      <c r="C24" s="3" t="n">
        <v>0.06</v>
      </c>
      <c r="D24" s="3" t="n">
        <v>0.1</v>
      </c>
      <c r="E24" t="inlineStr">
        <is>
          <t>Illustrative forecast</t>
        </is>
      </c>
    </row>
    <row r="25">
      <c r="A25" t="inlineStr">
        <is>
          <t>EBIT margin Y1</t>
        </is>
      </c>
      <c r="B25" s="3" t="n">
        <v>0.3</v>
      </c>
      <c r="C25" s="3" t="n">
        <v>0.45</v>
      </c>
      <c r="D25" s="3" t="n">
        <v>0.58</v>
      </c>
      <c r="E25" t="inlineStr">
        <is>
          <t>Illustrative forecast</t>
        </is>
      </c>
    </row>
    <row r="26">
      <c r="A26" t="inlineStr">
        <is>
          <t>EBIT margin Y2</t>
        </is>
      </c>
      <c r="B26" s="3" t="n">
        <v>0.3</v>
      </c>
      <c r="C26" s="3" t="n">
        <v>0.45</v>
      </c>
      <c r="D26" s="3" t="n">
        <v>0.57</v>
      </c>
      <c r="E26" t="inlineStr">
        <is>
          <t>Illustrative forecast</t>
        </is>
      </c>
    </row>
    <row r="27">
      <c r="A27" t="inlineStr">
        <is>
          <t>EBIT margin Y3</t>
        </is>
      </c>
      <c r="B27" s="3" t="n">
        <v>0.3</v>
      </c>
      <c r="C27" s="3" t="n">
        <v>0.45</v>
      </c>
      <c r="D27" s="3" t="n">
        <v>0.55</v>
      </c>
      <c r="E27" t="inlineStr">
        <is>
          <t>Illustrative forecast</t>
        </is>
      </c>
    </row>
    <row r="28">
      <c r="A28" t="inlineStr">
        <is>
          <t>EBIT margin Y4</t>
        </is>
      </c>
      <c r="B28" s="3" t="n">
        <v>0.3</v>
      </c>
      <c r="C28" s="3" t="n">
        <v>0.45</v>
      </c>
      <c r="D28" s="3" t="n">
        <v>0.53</v>
      </c>
      <c r="E28" t="inlineStr">
        <is>
          <t>Illustrative forecast</t>
        </is>
      </c>
    </row>
    <row r="29">
      <c r="A29" t="inlineStr">
        <is>
          <t>EBIT margin Y5</t>
        </is>
      </c>
      <c r="B29" s="3" t="n">
        <v>0.3</v>
      </c>
      <c r="C29" s="3" t="n">
        <v>0.45</v>
      </c>
      <c r="D29" s="3" t="n">
        <v>0.5</v>
      </c>
      <c r="E29" t="inlineStr">
        <is>
          <t>Illustrative forecast</t>
        </is>
      </c>
    </row>
    <row r="30">
      <c r="A30" t="inlineStr">
        <is>
          <t>Forecast years</t>
        </is>
      </c>
      <c r="B30" s="2" t="n">
        <v>5</v>
      </c>
      <c r="C30" s="2" t="n">
        <v>5</v>
      </c>
      <c r="D30" s="2" t="n">
        <v>5</v>
      </c>
      <c r="E30" t="inlineStr">
        <is>
          <t>This workbook is set up for 5 explicit forecast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68" customWidth="1" min="5" max="5"/>
  </cols>
  <sheetData>
    <row r="1">
      <c r="A1" s="1" t="inlineStr">
        <is>
          <t>WACC component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NVDA</t>
        </is>
      </c>
      <c r="E1" s="1" t="inlineStr">
        <is>
          <t>Method</t>
        </is>
      </c>
    </row>
    <row r="2">
      <c r="A2" t="inlineStr">
        <is>
          <t>Cost of equity</t>
        </is>
      </c>
      <c r="B2" s="4">
        <f>Inputs!B13+Inputs!B14*Inputs!B15</f>
        <v/>
      </c>
      <c r="C2" s="4">
        <f>Inputs!C13+Inputs!C14*Inputs!C15</f>
        <v/>
      </c>
      <c r="D2" s="4">
        <f>Inputs!D13+Inputs!D14*Inputs!D15</f>
        <v/>
      </c>
      <c r="E2" t="inlineStr">
        <is>
          <t>CAPM = risk-free rate + beta × equity risk premium</t>
        </is>
      </c>
    </row>
    <row r="3">
      <c r="A3" t="inlineStr">
        <is>
          <t>After-tax cost of debt</t>
        </is>
      </c>
      <c r="B3" s="4">
        <f>Inputs!B16*(1-Inputs!B9)</f>
        <v/>
      </c>
      <c r="C3" s="4">
        <f>Inputs!C16*(1-Inputs!C9)</f>
        <v/>
      </c>
      <c r="D3" s="4">
        <f>Inputs!D16*(1-Inputs!D9)</f>
        <v/>
      </c>
      <c r="E3" t="inlineStr">
        <is>
          <t>Pre-tax debt cost × (1-tax rate)</t>
        </is>
      </c>
    </row>
    <row r="4">
      <c r="A4" t="inlineStr">
        <is>
          <t>Debt weight</t>
        </is>
      </c>
      <c r="B4" s="4">
        <f>Inputs!B17</f>
        <v/>
      </c>
      <c r="C4" s="4">
        <f>Inputs!C17</f>
        <v/>
      </c>
      <c r="D4" s="4">
        <f>Inputs!D17</f>
        <v/>
      </c>
      <c r="E4" t="inlineStr">
        <is>
          <t>Market-value weight; equity weight = 1 - debt weight</t>
        </is>
      </c>
    </row>
    <row r="5">
      <c r="A5" t="inlineStr">
        <is>
          <t>Equity weight</t>
        </is>
      </c>
      <c r="B5" s="4">
        <f>1-B4</f>
        <v/>
      </c>
      <c r="C5" s="4">
        <f>1-C4</f>
        <v/>
      </c>
      <c r="D5" s="4">
        <f>1-D4</f>
        <v/>
      </c>
      <c r="E5" t="inlineStr">
        <is>
          <t>1 - debt weight</t>
        </is>
      </c>
    </row>
    <row r="6">
      <c r="A6" t="inlineStr">
        <is>
          <t>Calculated WACC</t>
        </is>
      </c>
      <c r="B6" s="4">
        <f>B2*B5+B3*B4</f>
        <v/>
      </c>
      <c r="C6" s="4">
        <f>C2*C5+C3*C4</f>
        <v/>
      </c>
      <c r="D6" s="4">
        <f>D2*D5+D3*D4</f>
        <v/>
      </c>
      <c r="E6" t="inlineStr">
        <is>
          <t>Cost of equity × equity weight + after-tax debt cost × debt weight</t>
        </is>
      </c>
    </row>
    <row r="7">
      <c r="A7" t="inlineStr">
        <is>
          <t>Selected WACC</t>
        </is>
      </c>
      <c r="B7" s="4">
        <f>IF(Inputs!B18&gt;0,Inputs!B18,B6)</f>
        <v/>
      </c>
      <c r="C7" s="4">
        <f>IF(Inputs!C18&gt;0,Inputs!C18,C6)</f>
        <v/>
      </c>
      <c r="D7" s="4">
        <f>IF(Inputs!D18&gt;0,Inputs!D18,D6)</f>
        <v/>
      </c>
      <c r="E7" t="inlineStr">
        <is>
          <t>Override if input override is non-zero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  <col width="23" customWidth="1" min="4" max="4"/>
  </cols>
  <sheetData>
    <row r="1">
      <c r="A1" s="1" t="inlineStr">
        <is>
          <t>Metric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NVDA</t>
        </is>
      </c>
    </row>
    <row r="2">
      <c r="A2" t="inlineStr">
        <is>
          <t>Year 0 Revenue ($bn)</t>
        </is>
      </c>
      <c r="B2" s="5">
        <f>Inputs!B7</f>
        <v/>
      </c>
      <c r="C2" s="5">
        <f>Inputs!C7</f>
        <v/>
      </c>
      <c r="D2" s="5">
        <f>Inputs!D7</f>
        <v/>
      </c>
    </row>
    <row r="3">
      <c r="A3" t="inlineStr">
        <is>
          <t>Year 1 Revenue</t>
        </is>
      </c>
      <c r="B3" s="5">
        <f>B2*(1+Inputs!B20)</f>
        <v/>
      </c>
      <c r="C3" s="5">
        <f>C2*(1+Inputs!C20)</f>
        <v/>
      </c>
      <c r="D3" s="5">
        <f>D2*(1+Inputs!D20)</f>
        <v/>
      </c>
    </row>
    <row r="4">
      <c r="A4" t="inlineStr">
        <is>
          <t>Year 2 Revenue</t>
        </is>
      </c>
      <c r="B4" s="5">
        <f>B3*(1+Inputs!B21)</f>
        <v/>
      </c>
      <c r="C4" s="5">
        <f>C3*(1+Inputs!C21)</f>
        <v/>
      </c>
      <c r="D4" s="5">
        <f>D3*(1+Inputs!D21)</f>
        <v/>
      </c>
    </row>
    <row r="5">
      <c r="A5" t="inlineStr">
        <is>
          <t>Year 3 Revenue</t>
        </is>
      </c>
      <c r="B5" s="5">
        <f>B4*(1+Inputs!B22)</f>
        <v/>
      </c>
      <c r="C5" s="5">
        <f>C4*(1+Inputs!C22)</f>
        <v/>
      </c>
      <c r="D5" s="5">
        <f>D4*(1+Inputs!D22)</f>
        <v/>
      </c>
    </row>
    <row r="6">
      <c r="A6" t="inlineStr">
        <is>
          <t>Year 4 Revenue</t>
        </is>
      </c>
      <c r="B6" s="5">
        <f>B5*(1+Inputs!B23)</f>
        <v/>
      </c>
      <c r="C6" s="5">
        <f>C5*(1+Inputs!C23)</f>
        <v/>
      </c>
      <c r="D6" s="5">
        <f>D5*(1+Inputs!D23)</f>
        <v/>
      </c>
    </row>
    <row r="7">
      <c r="A7" t="inlineStr">
        <is>
          <t>Year 5 Revenue</t>
        </is>
      </c>
      <c r="B7" s="5">
        <f>B6*(1+Inputs!B24)</f>
        <v/>
      </c>
      <c r="C7" s="5">
        <f>C6*(1+Inputs!C24)</f>
        <v/>
      </c>
      <c r="D7" s="5">
        <f>D6*(1+Inputs!D24)</f>
        <v/>
      </c>
    </row>
    <row r="8">
      <c r="A8" t="inlineStr">
        <is>
          <t>Year 1 EBIT</t>
        </is>
      </c>
      <c r="B8" s="5">
        <f>B3*Inputs!B25</f>
        <v/>
      </c>
      <c r="C8" s="5">
        <f>C3*Inputs!C25</f>
        <v/>
      </c>
      <c r="D8" s="5">
        <f>D3*Inputs!D25</f>
        <v/>
      </c>
    </row>
    <row r="9">
      <c r="A9" t="inlineStr">
        <is>
          <t>Year 2 EBIT</t>
        </is>
      </c>
      <c r="B9" s="5">
        <f>B4*Inputs!B26</f>
        <v/>
      </c>
      <c r="C9" s="5">
        <f>C4*Inputs!C26</f>
        <v/>
      </c>
      <c r="D9" s="5">
        <f>D4*Inputs!D26</f>
        <v/>
      </c>
    </row>
    <row r="10">
      <c r="A10" t="inlineStr">
        <is>
          <t>Year 3 EBIT</t>
        </is>
      </c>
      <c r="B10" s="5">
        <f>B5*Inputs!B27</f>
        <v/>
      </c>
      <c r="C10" s="5">
        <f>C5*Inputs!C27</f>
        <v/>
      </c>
      <c r="D10" s="5">
        <f>D5*Inputs!D27</f>
        <v/>
      </c>
    </row>
    <row r="11">
      <c r="A11" t="inlineStr">
        <is>
          <t>Year 4 EBIT</t>
        </is>
      </c>
      <c r="B11" s="5">
        <f>B6*Inputs!B28</f>
        <v/>
      </c>
      <c r="C11" s="5">
        <f>C6*Inputs!C28</f>
        <v/>
      </c>
      <c r="D11" s="5">
        <f>D6*Inputs!D28</f>
        <v/>
      </c>
    </row>
    <row r="12">
      <c r="A12" t="inlineStr">
        <is>
          <t>Year 5 EBIT</t>
        </is>
      </c>
      <c r="B12" s="5">
        <f>B7*Inputs!B29</f>
        <v/>
      </c>
      <c r="C12" s="5">
        <f>C7*Inputs!C29</f>
        <v/>
      </c>
      <c r="D12" s="5">
        <f>D7*Inputs!D29</f>
        <v/>
      </c>
    </row>
    <row r="13">
      <c r="A13" t="inlineStr">
        <is>
          <t>Year 1 NOPAT</t>
        </is>
      </c>
      <c r="B13" s="5">
        <f>B8*(1-Inputs!B9)</f>
        <v/>
      </c>
      <c r="C13" s="5">
        <f>C8*(1-Inputs!C9)</f>
        <v/>
      </c>
      <c r="D13" s="5">
        <f>D8*(1-Inputs!D9)</f>
        <v/>
      </c>
    </row>
    <row r="14">
      <c r="A14" t="inlineStr">
        <is>
          <t>Year 2 NOPAT</t>
        </is>
      </c>
      <c r="B14" s="5">
        <f>B9*(1-Inputs!B9)</f>
        <v/>
      </c>
      <c r="C14" s="5">
        <f>C9*(1-Inputs!C9)</f>
        <v/>
      </c>
      <c r="D14" s="5">
        <f>D9*(1-Inputs!D9)</f>
        <v/>
      </c>
    </row>
    <row r="15">
      <c r="A15" t="inlineStr">
        <is>
          <t>Year 3 NOPAT</t>
        </is>
      </c>
      <c r="B15" s="5">
        <f>B10*(1-Inputs!B9)</f>
        <v/>
      </c>
      <c r="C15" s="5">
        <f>C10*(1-Inputs!C9)</f>
        <v/>
      </c>
      <c r="D15" s="5">
        <f>D10*(1-Inputs!D9)</f>
        <v/>
      </c>
    </row>
    <row r="16">
      <c r="A16" t="inlineStr">
        <is>
          <t>Year 4 NOPAT</t>
        </is>
      </c>
      <c r="B16" s="5">
        <f>B11*(1-Inputs!B9)</f>
        <v/>
      </c>
      <c r="C16" s="5">
        <f>C11*(1-Inputs!C9)</f>
        <v/>
      </c>
      <c r="D16" s="5">
        <f>D11*(1-Inputs!D9)</f>
        <v/>
      </c>
    </row>
    <row r="17">
      <c r="A17" t="inlineStr">
        <is>
          <t>Year 5 NOPAT</t>
        </is>
      </c>
      <c r="B17" s="5">
        <f>B12*(1-Inputs!B9)</f>
        <v/>
      </c>
      <c r="C17" s="5">
        <f>C12*(1-Inputs!C9)</f>
        <v/>
      </c>
      <c r="D17" s="5">
        <f>D12*(1-Inputs!D9)</f>
        <v/>
      </c>
    </row>
    <row r="18">
      <c r="A18" t="inlineStr">
        <is>
          <t>Year 1 D&amp;A</t>
        </is>
      </c>
      <c r="B18" s="5">
        <f>B3*Inputs!B10</f>
        <v/>
      </c>
      <c r="C18" s="5">
        <f>C3*Inputs!C10</f>
        <v/>
      </c>
      <c r="D18" s="5">
        <f>D3*Inputs!D10</f>
        <v/>
      </c>
    </row>
    <row r="19">
      <c r="A19" t="inlineStr">
        <is>
          <t>Year 2 D&amp;A</t>
        </is>
      </c>
      <c r="B19" s="5">
        <f>B4*Inputs!B10</f>
        <v/>
      </c>
      <c r="C19" s="5">
        <f>C4*Inputs!C10</f>
        <v/>
      </c>
      <c r="D19" s="5">
        <f>D4*Inputs!D10</f>
        <v/>
      </c>
    </row>
    <row r="20">
      <c r="A20" t="inlineStr">
        <is>
          <t>Year 3 D&amp;A</t>
        </is>
      </c>
      <c r="B20" s="5">
        <f>B5*Inputs!B10</f>
        <v/>
      </c>
      <c r="C20" s="5">
        <f>C5*Inputs!C10</f>
        <v/>
      </c>
      <c r="D20" s="5">
        <f>D5*Inputs!D10</f>
        <v/>
      </c>
    </row>
    <row r="21">
      <c r="A21" t="inlineStr">
        <is>
          <t>Year 4 D&amp;A</t>
        </is>
      </c>
      <c r="B21" s="5">
        <f>B6*Inputs!B10</f>
        <v/>
      </c>
      <c r="C21" s="5">
        <f>C6*Inputs!C10</f>
        <v/>
      </c>
      <c r="D21" s="5">
        <f>D6*Inputs!D10</f>
        <v/>
      </c>
    </row>
    <row r="22">
      <c r="A22" t="inlineStr">
        <is>
          <t>Year 5 D&amp;A</t>
        </is>
      </c>
      <c r="B22" s="5">
        <f>B7*Inputs!B10</f>
        <v/>
      </c>
      <c r="C22" s="5">
        <f>C7*Inputs!C10</f>
        <v/>
      </c>
      <c r="D22" s="5">
        <f>D7*Inputs!D10</f>
        <v/>
      </c>
    </row>
    <row r="23">
      <c r="A23" t="inlineStr">
        <is>
          <t>Year 1 Capex</t>
        </is>
      </c>
      <c r="B23" s="5">
        <f>B3*Inputs!B11</f>
        <v/>
      </c>
      <c r="C23" s="5">
        <f>C3*Inputs!C11</f>
        <v/>
      </c>
      <c r="D23" s="5">
        <f>D3*Inputs!D11</f>
        <v/>
      </c>
    </row>
    <row r="24">
      <c r="A24" t="inlineStr">
        <is>
          <t>Year 2 Capex</t>
        </is>
      </c>
      <c r="B24" s="5">
        <f>B4*Inputs!B11</f>
        <v/>
      </c>
      <c r="C24" s="5">
        <f>C4*Inputs!C11</f>
        <v/>
      </c>
      <c r="D24" s="5">
        <f>D4*Inputs!D11</f>
        <v/>
      </c>
    </row>
    <row r="25">
      <c r="A25" t="inlineStr">
        <is>
          <t>Year 3 Capex</t>
        </is>
      </c>
      <c r="B25" s="5">
        <f>B5*Inputs!B11</f>
        <v/>
      </c>
      <c r="C25" s="5">
        <f>C5*Inputs!C11</f>
        <v/>
      </c>
      <c r="D25" s="5">
        <f>D5*Inputs!D11</f>
        <v/>
      </c>
    </row>
    <row r="26">
      <c r="A26" t="inlineStr">
        <is>
          <t>Year 4 Capex</t>
        </is>
      </c>
      <c r="B26" s="5">
        <f>B6*Inputs!B11</f>
        <v/>
      </c>
      <c r="C26" s="5">
        <f>C6*Inputs!C11</f>
        <v/>
      </c>
      <c r="D26" s="5">
        <f>D6*Inputs!D11</f>
        <v/>
      </c>
    </row>
    <row r="27">
      <c r="A27" t="inlineStr">
        <is>
          <t>Year 5 Capex</t>
        </is>
      </c>
      <c r="B27" s="5">
        <f>B7*Inputs!B11</f>
        <v/>
      </c>
      <c r="C27" s="5">
        <f>C7*Inputs!C11</f>
        <v/>
      </c>
      <c r="D27" s="5">
        <f>D7*Inputs!D11</f>
        <v/>
      </c>
    </row>
    <row r="28">
      <c r="A28" t="inlineStr">
        <is>
          <t>Year 1 Change in NWC</t>
        </is>
      </c>
      <c r="B28" s="5">
        <f>(B3-B2)*Inputs!B12</f>
        <v/>
      </c>
      <c r="C28" s="5">
        <f>(C3-C2)*Inputs!C12</f>
        <v/>
      </c>
      <c r="D28" s="5">
        <f>(D3-D2)*Inputs!D12</f>
        <v/>
      </c>
    </row>
    <row r="29">
      <c r="A29" t="inlineStr">
        <is>
          <t>Year 2 Change in NWC</t>
        </is>
      </c>
      <c r="B29" s="5">
        <f>(B4-B3)*Inputs!B12</f>
        <v/>
      </c>
      <c r="C29" s="5">
        <f>(C4-C3)*Inputs!C12</f>
        <v/>
      </c>
      <c r="D29" s="5">
        <f>(D4-D3)*Inputs!D12</f>
        <v/>
      </c>
    </row>
    <row r="30">
      <c r="A30" t="inlineStr">
        <is>
          <t>Year 3 Change in NWC</t>
        </is>
      </c>
      <c r="B30" s="5">
        <f>(B5-B4)*Inputs!B12</f>
        <v/>
      </c>
      <c r="C30" s="5">
        <f>(C5-C4)*Inputs!C12</f>
        <v/>
      </c>
      <c r="D30" s="5">
        <f>(D5-D4)*Inputs!D12</f>
        <v/>
      </c>
    </row>
    <row r="31">
      <c r="A31" t="inlineStr">
        <is>
          <t>Year 4 Change in NWC</t>
        </is>
      </c>
      <c r="B31" s="5">
        <f>(B6-B5)*Inputs!B12</f>
        <v/>
      </c>
      <c r="C31" s="5">
        <f>(C6-C5)*Inputs!C12</f>
        <v/>
      </c>
      <c r="D31" s="5">
        <f>(D6-D5)*Inputs!D12</f>
        <v/>
      </c>
    </row>
    <row r="32">
      <c r="A32" t="inlineStr">
        <is>
          <t>Year 5 Change in NWC</t>
        </is>
      </c>
      <c r="B32" s="5">
        <f>(B7-B6)*Inputs!B12</f>
        <v/>
      </c>
      <c r="C32" s="5">
        <f>(C7-C6)*Inputs!C12</f>
        <v/>
      </c>
      <c r="D32" s="5">
        <f>(D7-D6)*Inputs!D12</f>
        <v/>
      </c>
    </row>
    <row r="33">
      <c r="A33" t="inlineStr">
        <is>
          <t>Year 1 FCFF</t>
        </is>
      </c>
      <c r="B33" s="5">
        <f>B13+B18-B23-B28</f>
        <v/>
      </c>
      <c r="C33" s="5">
        <f>C13+C18-C23-C28</f>
        <v/>
      </c>
      <c r="D33" s="5">
        <f>D13+D18-D23-D28</f>
        <v/>
      </c>
    </row>
    <row r="34">
      <c r="A34" t="inlineStr">
        <is>
          <t>Year 2 FCFF</t>
        </is>
      </c>
      <c r="B34" s="5">
        <f>B14+B19-B24-B29</f>
        <v/>
      </c>
      <c r="C34" s="5">
        <f>C14+C19-C24-C29</f>
        <v/>
      </c>
      <c r="D34" s="5">
        <f>D14+D19-D24-D29</f>
        <v/>
      </c>
    </row>
    <row r="35">
      <c r="A35" t="inlineStr">
        <is>
          <t>Year 3 FCFF</t>
        </is>
      </c>
      <c r="B35" s="5">
        <f>B15+B20-B25-B30</f>
        <v/>
      </c>
      <c r="C35" s="5">
        <f>C15+C20-C25-C30</f>
        <v/>
      </c>
      <c r="D35" s="5">
        <f>D15+D20-D25-D30</f>
        <v/>
      </c>
    </row>
    <row r="36">
      <c r="A36" t="inlineStr">
        <is>
          <t>Year 4 FCFF</t>
        </is>
      </c>
      <c r="B36" s="5">
        <f>B16+B21-B26-B31</f>
        <v/>
      </c>
      <c r="C36" s="5">
        <f>C16+C21-C26-C31</f>
        <v/>
      </c>
      <c r="D36" s="5">
        <f>D16+D21-D26-D31</f>
        <v/>
      </c>
    </row>
    <row r="37">
      <c r="A37" t="inlineStr">
        <is>
          <t>Year 5 FCFF</t>
        </is>
      </c>
      <c r="B37" s="5">
        <f>B17+B22-B27-B32</f>
        <v/>
      </c>
      <c r="C37" s="5">
        <f>C17+C22-C27-C32</f>
        <v/>
      </c>
      <c r="D37" s="5">
        <f>D17+D22-D27-D32</f>
        <v/>
      </c>
    </row>
    <row r="38">
      <c r="A38" t="inlineStr">
        <is>
          <t>PV explicit FCFF</t>
        </is>
      </c>
      <c r="B38" s="5">
        <f>B33/(1+WACC!B7)^1+B34/(1+WACC!B7)^2+B35/(1+WACC!B7)^3+B36/(1+WACC!B7)^4+B37/(1+WACC!B7)^5</f>
        <v/>
      </c>
      <c r="C38" s="5">
        <f>C33/(1+WACC!C7)^1+C34/(1+WACC!C7)^2+C35/(1+WACC!C7)^3+C36/(1+WACC!C7)^4+C37/(1+WACC!C7)^5</f>
        <v/>
      </c>
      <c r="D38" s="5">
        <f>D33/(1+WACC!D7)^1+D34/(1+WACC!D7)^2+D35/(1+WACC!D7)^3+D36/(1+WACC!D7)^4+D37/(1+WACC!D7)^5</f>
        <v/>
      </c>
    </row>
    <row r="39">
      <c r="A39" t="inlineStr">
        <is>
          <t>Terminal value</t>
        </is>
      </c>
      <c r="B39" s="5">
        <f>B37*(1+Inputs!B19)/(WACC!B7-Inputs!B19)</f>
        <v/>
      </c>
      <c r="C39" s="5">
        <f>C37*(1+Inputs!C19)/(WACC!C7-Inputs!C19)</f>
        <v/>
      </c>
      <c r="D39" s="5">
        <f>D37*(1+Inputs!D19)/(WACC!D7-Inputs!D19)</f>
        <v/>
      </c>
    </row>
    <row r="40">
      <c r="A40" t="inlineStr">
        <is>
          <t>PV terminal value</t>
        </is>
      </c>
      <c r="B40" s="5">
        <f>B39/(1+WACC!B7)^5</f>
        <v/>
      </c>
      <c r="C40" s="5">
        <f>C39/(1+WACC!C7)^5</f>
        <v/>
      </c>
      <c r="D40" s="5">
        <f>D39/(1+WACC!D7)^5</f>
        <v/>
      </c>
    </row>
    <row r="41">
      <c r="A41" t="inlineStr">
        <is>
          <t>Enterprise value</t>
        </is>
      </c>
      <c r="B41" s="5">
        <f>B38+B40</f>
        <v/>
      </c>
      <c r="C41" s="5">
        <f>C38+C40</f>
        <v/>
      </c>
      <c r="D41" s="5">
        <f>D38+D40</f>
        <v/>
      </c>
    </row>
    <row r="42">
      <c r="A42" t="inlineStr">
        <is>
          <t>Equity value</t>
        </is>
      </c>
      <c r="B42" s="5">
        <f>B41+Inputs!B5-Inputs!B6</f>
        <v/>
      </c>
      <c r="C42" s="5">
        <f>C41+Inputs!C5-Inputs!C6</f>
        <v/>
      </c>
      <c r="D42" s="5">
        <f>D41+Inputs!D5-Inputs!D6</f>
        <v/>
      </c>
    </row>
    <row r="43">
      <c r="A43" t="inlineStr">
        <is>
          <t>Intrinsic value/share</t>
        </is>
      </c>
      <c r="B43" s="5">
        <f>B42/Inputs!B4</f>
        <v/>
      </c>
      <c r="C43" s="5">
        <f>C42/Inputs!C4</f>
        <v/>
      </c>
      <c r="D43" s="5">
        <f>D42/Inputs!D4</f>
        <v/>
      </c>
    </row>
    <row r="44">
      <c r="A44" t="inlineStr">
        <is>
          <t>Market cap ($bn)</t>
        </is>
      </c>
      <c r="B44" s="5">
        <f>Inputs!B3*Inputs!B4</f>
        <v/>
      </c>
      <c r="C44" s="5">
        <f>Inputs!C3*Inputs!C4</f>
        <v/>
      </c>
      <c r="D44" s="5">
        <f>Inputs!D3*Inputs!D4</f>
        <v/>
      </c>
    </row>
    <row r="45">
      <c r="A45" t="inlineStr">
        <is>
          <t>Upside/downside</t>
        </is>
      </c>
      <c r="B45" s="4">
        <f>B43/Inputs!B3-1</f>
        <v/>
      </c>
      <c r="C45" s="4">
        <f>C43/Inputs!C3-1</f>
        <v/>
      </c>
      <c r="D45" s="4">
        <f>D43/Inputs!D3-1</f>
        <v/>
      </c>
    </row>
    <row r="46">
      <c r="A46" t="inlineStr">
        <is>
          <t>Terminal value / EV</t>
        </is>
      </c>
      <c r="B46" s="4">
        <f>B40/B41</f>
        <v/>
      </c>
      <c r="C46" s="4">
        <f>C40/C41</f>
        <v/>
      </c>
      <c r="D46" s="4">
        <f>D40/D41</f>
        <v/>
      </c>
    </row>
    <row r="47">
      <c r="A47" t="inlineStr">
        <is>
          <t>WACC check</t>
        </is>
      </c>
      <c r="B47">
        <f>IF(WACC!B7&gt;Inputs!B19,"PASS","FAIL: WACC must exceed terminal growth")</f>
        <v/>
      </c>
      <c r="C47">
        <f>IF(WACC!C7&gt;Inputs!C19,"PASS","FAIL: WACC must exceed terminal growth")</f>
        <v/>
      </c>
      <c r="D47">
        <f>IF(WACC!D7&gt;Inputs!D19,"PASS","FAIL: WACC must exceed terminal growth")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2" customWidth="1" min="5" max="5"/>
    <col width="30" customWidth="1" min="6" max="6"/>
    <col width="34" customWidth="1" min="7" max="7"/>
  </cols>
  <sheetData>
    <row r="1">
      <c r="A1" s="1" t="inlineStr">
        <is>
          <t>Ticker</t>
        </is>
      </c>
      <c r="B1" s="1" t="inlineStr">
        <is>
          <t>Scenario</t>
        </is>
      </c>
      <c r="C1" s="1" t="inlineStr">
        <is>
          <t>Growth adjustment</t>
        </is>
      </c>
      <c r="D1" s="1" t="inlineStr">
        <is>
          <t>Margin adjustment</t>
        </is>
      </c>
      <c r="E1" s="1" t="inlineStr">
        <is>
          <t>WACC adjustment</t>
        </is>
      </c>
      <c r="F1" s="1" t="inlineStr">
        <is>
          <t>Terminal growth adjustment</t>
        </is>
      </c>
      <c r="G1" s="1" t="inlineStr">
        <is>
          <t>Python produces values</t>
        </is>
      </c>
    </row>
    <row r="2">
      <c r="A2" t="inlineStr">
        <is>
          <t>AAPL</t>
        </is>
      </c>
      <c r="B2" t="inlineStr">
        <is>
          <t>Bear</t>
        </is>
      </c>
      <c r="C2" s="4" t="n">
        <v>-0.05</v>
      </c>
      <c r="D2" s="4" t="n">
        <v>-0.03</v>
      </c>
      <c r="E2" s="4" t="n">
        <v>0.01</v>
      </c>
      <c r="F2" s="4" t="n">
        <v>-0.005</v>
      </c>
      <c r="G2" t="inlineStr">
        <is>
          <t>Run Python for scenario values</t>
        </is>
      </c>
    </row>
    <row r="3">
      <c r="A3" t="inlineStr">
        <is>
          <t>AAPL</t>
        </is>
      </c>
      <c r="B3" t="inlineStr">
        <is>
          <t>Base</t>
        </is>
      </c>
      <c r="C3" s="4" t="n">
        <v>0</v>
      </c>
      <c r="D3" s="4" t="n">
        <v>0</v>
      </c>
      <c r="E3" s="4" t="n">
        <v>0</v>
      </c>
      <c r="F3" s="4" t="n">
        <v>0</v>
      </c>
      <c r="G3" t="inlineStr">
        <is>
          <t>Run Python for scenario values</t>
        </is>
      </c>
    </row>
    <row r="4">
      <c r="A4" t="inlineStr">
        <is>
          <t>AAPL</t>
        </is>
      </c>
      <c r="B4" t="inlineStr">
        <is>
          <t>Bull</t>
        </is>
      </c>
      <c r="C4" s="4" t="n">
        <v>0.05</v>
      </c>
      <c r="D4" s="4" t="n">
        <v>0.03</v>
      </c>
      <c r="E4" s="4" t="n">
        <v>-0.01</v>
      </c>
      <c r="F4" s="4" t="n">
        <v>0.005</v>
      </c>
      <c r="G4" t="inlineStr">
        <is>
          <t>Run Python for scenario values</t>
        </is>
      </c>
    </row>
    <row r="5">
      <c r="A5" t="inlineStr">
        <is>
          <t>MSFT</t>
        </is>
      </c>
      <c r="B5" t="inlineStr">
        <is>
          <t>Bear</t>
        </is>
      </c>
      <c r="C5" s="4" t="n">
        <v>-0.05</v>
      </c>
      <c r="D5" s="4" t="n">
        <v>-0.03</v>
      </c>
      <c r="E5" s="4" t="n">
        <v>0.01</v>
      </c>
      <c r="F5" s="4" t="n">
        <v>-0.005</v>
      </c>
      <c r="G5" t="inlineStr">
        <is>
          <t>Run Python for scenario values</t>
        </is>
      </c>
    </row>
    <row r="6">
      <c r="A6" t="inlineStr">
        <is>
          <t>MSFT</t>
        </is>
      </c>
      <c r="B6" t="inlineStr">
        <is>
          <t>Base</t>
        </is>
      </c>
      <c r="C6" s="4" t="n">
        <v>0</v>
      </c>
      <c r="D6" s="4" t="n">
        <v>0</v>
      </c>
      <c r="E6" s="4" t="n">
        <v>0</v>
      </c>
      <c r="F6" s="4" t="n">
        <v>0</v>
      </c>
      <c r="G6" t="inlineStr">
        <is>
          <t>Run Python for scenario values</t>
        </is>
      </c>
    </row>
    <row r="7">
      <c r="A7" t="inlineStr">
        <is>
          <t>MSFT</t>
        </is>
      </c>
      <c r="B7" t="inlineStr">
        <is>
          <t>Bull</t>
        </is>
      </c>
      <c r="C7" s="4" t="n">
        <v>0.05</v>
      </c>
      <c r="D7" s="4" t="n">
        <v>0.03</v>
      </c>
      <c r="E7" s="4" t="n">
        <v>-0.01</v>
      </c>
      <c r="F7" s="4" t="n">
        <v>0.005</v>
      </c>
      <c r="G7" t="inlineStr">
        <is>
          <t>Run Python for scenario values</t>
        </is>
      </c>
    </row>
    <row r="8">
      <c r="A8" t="inlineStr">
        <is>
          <t>NVDA</t>
        </is>
      </c>
      <c r="B8" t="inlineStr">
        <is>
          <t>Bear</t>
        </is>
      </c>
      <c r="C8" s="4" t="n">
        <v>-0.05</v>
      </c>
      <c r="D8" s="4" t="n">
        <v>-0.03</v>
      </c>
      <c r="E8" s="4" t="n">
        <v>0.01</v>
      </c>
      <c r="F8" s="4" t="n">
        <v>-0.005</v>
      </c>
      <c r="G8" t="inlineStr">
        <is>
          <t>Run Python for scenario values</t>
        </is>
      </c>
    </row>
    <row r="9">
      <c r="A9" t="inlineStr">
        <is>
          <t>NVDA</t>
        </is>
      </c>
      <c r="B9" t="inlineStr">
        <is>
          <t>Base</t>
        </is>
      </c>
      <c r="C9" s="4" t="n">
        <v>0</v>
      </c>
      <c r="D9" s="4" t="n">
        <v>0</v>
      </c>
      <c r="E9" s="4" t="n">
        <v>0</v>
      </c>
      <c r="F9" s="4" t="n">
        <v>0</v>
      </c>
      <c r="G9" t="inlineStr">
        <is>
          <t>Run Python for scenario values</t>
        </is>
      </c>
    </row>
    <row r="10">
      <c r="A10" t="inlineStr">
        <is>
          <t>NVDA</t>
        </is>
      </c>
      <c r="B10" t="inlineStr">
        <is>
          <t>Bull</t>
        </is>
      </c>
      <c r="C10" s="4" t="n">
        <v>0.05</v>
      </c>
      <c r="D10" s="4" t="n">
        <v>0.03</v>
      </c>
      <c r="E10" s="4" t="n">
        <v>-0.01</v>
      </c>
      <c r="F10" s="4" t="n">
        <v>0.005</v>
      </c>
      <c r="G10" t="inlineStr">
        <is>
          <t>Run Python for scenario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  <col width="24" customWidth="1" min="4" max="4"/>
    <col width="28" customWidth="1" min="5" max="5"/>
  </cols>
  <sheetData>
    <row r="1">
      <c r="A1" s="1" t="inlineStr">
        <is>
          <t>Validation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NVDA</t>
        </is>
      </c>
      <c r="E1" s="1" t="inlineStr">
        <is>
          <t>Expected</t>
        </is>
      </c>
    </row>
    <row r="2">
      <c r="A2" t="inlineStr">
        <is>
          <t>WACC &gt; terminal growth</t>
        </is>
      </c>
      <c r="B2">
        <f>IF(WACC!B7&gt;Inputs!B19,"PASS","FAIL")</f>
        <v/>
      </c>
      <c r="C2">
        <f>IF(WACC!C7&gt;Inputs!C19,"PASS","FAIL")</f>
        <v/>
      </c>
      <c r="D2">
        <f>IF(WACC!D7&gt;Inputs!D19,"PASS","FAIL")</f>
        <v/>
      </c>
      <c r="E2" t="inlineStr">
        <is>
          <t>PASS</t>
        </is>
      </c>
    </row>
    <row r="3">
      <c r="A3" t="inlineStr">
        <is>
          <t>Positive shares</t>
        </is>
      </c>
      <c r="B3">
        <f>IF(Inputs!B4&gt;0,"PASS","FAIL")</f>
        <v/>
      </c>
      <c r="C3">
        <f>IF(Inputs!C4&gt;0,"PASS","FAIL")</f>
        <v/>
      </c>
      <c r="D3">
        <f>IF(Inputs!D4&gt;0,"PASS","FAIL")</f>
        <v/>
      </c>
      <c r="E3" t="inlineStr">
        <is>
          <t>PASS</t>
        </is>
      </c>
    </row>
    <row r="4">
      <c r="A4" t="inlineStr">
        <is>
          <t>Positive revenue</t>
        </is>
      </c>
      <c r="B4">
        <f>IF(Inputs!B7&gt;0,"PASS","FAIL")</f>
        <v/>
      </c>
      <c r="C4">
        <f>IF(Inputs!C7&gt;0,"PASS","FAIL")</f>
        <v/>
      </c>
      <c r="D4">
        <f>IF(Inputs!D7&gt;0,"PASS","FAIL")</f>
        <v/>
      </c>
      <c r="E4" t="inlineStr">
        <is>
          <t>PASS</t>
        </is>
      </c>
    </row>
    <row r="5">
      <c r="A5" t="inlineStr">
        <is>
          <t>Nonnegative capex ratio</t>
        </is>
      </c>
      <c r="B5">
        <f>IF(Inputs!B11&gt;=0,"PASS","FAIL")</f>
        <v/>
      </c>
      <c r="C5">
        <f>IF(Inputs!C11&gt;=0,"PASS","FAIL")</f>
        <v/>
      </c>
      <c r="D5">
        <f>IF(Inputs!D11&gt;=0,"PASS","FAIL")</f>
        <v/>
      </c>
      <c r="E5" t="inlineStr">
        <is>
          <t>PASS</t>
        </is>
      </c>
    </row>
    <row r="6">
      <c r="A6" t="inlineStr">
        <is>
          <t>Terminal value share of EV</t>
        </is>
      </c>
      <c r="B6">
        <f>IF(DCF!B46&lt;0.85,"REVIEW","HIGH DEPENDENCE")</f>
        <v/>
      </c>
      <c r="C6">
        <f>IF(DCF!C46&lt;0.85,"REVIEW","HIGH DEPENDENCE")</f>
        <v/>
      </c>
      <c r="D6">
        <f>IF(DCF!D46&lt;0.85,"REVIEW","HIGH DEPENDENCE")</f>
        <v/>
      </c>
      <c r="E6" t="inlineStr">
        <is>
          <t>Review if &gt;85%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Reverse DCF Complete Project</t>
        </is>
      </c>
      <c r="B1" s="8" t="inlineStr">
        <is>
          <t>Instructions</t>
        </is>
      </c>
    </row>
    <row r="2" ht="35" customHeight="1">
      <c r="A2" s="6" t="inlineStr">
        <is>
          <t>Purpose</t>
        </is>
      </c>
      <c r="B2" s="7" t="inlineStr">
        <is>
          <t>End-to-end learning project for equity valuation and investment research.</t>
        </is>
      </c>
    </row>
    <row r="3" ht="35" customHeight="1">
      <c r="A3" s="6" t="inlineStr">
        <is>
          <t>Important</t>
        </is>
      </c>
      <c r="B3" s="7" t="inlineStr">
        <is>
          <t>Yellow inputs are illustrative placeholders, not verified live market data. Replace them before interpreting valuation.</t>
        </is>
      </c>
    </row>
    <row r="4" ht="35" customHeight="1">
      <c r="A4" s="6" t="inlineStr">
        <is>
          <t>Workflow</t>
        </is>
      </c>
      <c r="B4" s="7" t="inlineStr">
        <is>
          <t>1. Verify financial inputs. 2. Review WACC. 3. Reconcile DCF. 4. Run Python for implied expectations, scenarios, Monte Carlo, peer analysis and memos.</t>
        </is>
      </c>
    </row>
    <row r="5" ht="35" customHeight="1">
      <c r="A5" s="6" t="inlineStr">
        <is>
          <t>FCFF</t>
        </is>
      </c>
      <c r="B5" s="7" t="inlineStr">
        <is>
          <t>FCFF = EBIT × (1 − tax rate) + D&amp;A − capex − change in NWC.</t>
        </is>
      </c>
    </row>
    <row r="6" ht="35" customHeight="1">
      <c r="A6" s="6" t="inlineStr">
        <is>
          <t>WACC</t>
        </is>
      </c>
      <c r="B6" s="7" t="inlineStr">
        <is>
          <t>CAPM cost of equity + after-tax cost of debt weighted by capital structure. Beta, risk-free rate, ERP, debt cost and weights require sourcing.</t>
        </is>
      </c>
    </row>
    <row r="7" ht="35" customHeight="1">
      <c r="A7" s="6" t="inlineStr">
        <is>
          <t>Python outputs</t>
        </is>
      </c>
      <c r="B7" s="7" t="inlineStr">
        <is>
          <t>Run script to create valuation CSVs, peer comparisons, source metadata, distribution/tornado charts and one-page memos.</t>
        </is>
      </c>
    </row>
    <row r="8" ht="35" customHeight="1">
      <c r="A8" s="6" t="inlineStr">
        <is>
          <t>Limitations</t>
        </is>
      </c>
      <c r="B8" s="7" t="inlineStr">
        <is>
          <t>Data providers may have missing or inconsistent fields. Confirm against annual/quarterly filings. Monte Carlo probability depends on analyst assumptions.</t>
        </is>
      </c>
    </row>
    <row r="9" ht="35" customHeight="1">
      <c r="A9" s="6" t="inlineStr">
        <is>
          <t>Excel reverse solver</t>
        </is>
      </c>
      <c r="B9" s="7" t="inlineStr">
        <is>
          <t>The Python version solves implied growth and margin. Excel includes Goal Seek as a manual alternative: set intrinsic value/share to share price by changing a growth or margin input.</t>
        </is>
      </c>
    </row>
    <row r="10">
      <c r="A10" t="inlineStr">
        <is>
          <t>Version</t>
        </is>
      </c>
      <c r="B10" s="7" t="inlineStr">
        <is>
          <t>Version 2 (2026-10-14): Python adds valuation bridge diagnostics, terminal-value concentration, raw provider statement exports, peer multiple proxies, explicit review-required flags, deterministic seed, and run-failure log.</t>
        </is>
      </c>
    </row>
    <row r="11">
      <c r="A11" t="inlineStr">
        <is>
          <t>Validation status</t>
        </is>
      </c>
      <c r="B11" s="7" t="inlineStr">
        <is>
          <t>Python unit tests pass in the build environment. Live market data retrieval has not been run here because yfinance is not installed and live outputs are not verified.</t>
        </is>
      </c>
    </row>
    <row r="12">
      <c r="A12" t="inlineStr">
        <is>
          <t>Important</t>
        </is>
      </c>
      <c r="B12" s="7" t="inlineStr">
        <is>
          <t>Excel is a manual model: no live data pull or Python reverse solver is embedded. Reconcile assumptions and results before use.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5" customWidth="1" min="4" max="4"/>
    <col width="48" customWidth="1" min="5" max="5"/>
    <col width="24" customWidth="1" min="6" max="6"/>
    <col width="24" customWidth="1" min="7" max="7"/>
    <col width="22" customWidth="1" min="8" max="8"/>
    <col width="45" customWidth="1" min="9" max="9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Source URL / document</t>
        </is>
      </c>
      <c r="F1" s="1" t="inlineStr">
        <is>
          <t>Fiscal period / as-of</t>
        </is>
      </c>
      <c r="G1" s="1" t="inlineStr">
        <is>
          <t>Retrieved UTC</t>
        </is>
      </c>
      <c r="H1" s="1" t="inlineStr">
        <is>
          <t>Analyst check</t>
        </is>
      </c>
      <c r="I1" s="1" t="inlineStr">
        <is>
          <t>Notes</t>
        </is>
      </c>
    </row>
    <row r="2">
      <c r="A2" t="inlineStr">
        <is>
          <t>AAPL</t>
        </is>
      </c>
      <c r="H2" t="inlineStr">
        <is>
          <t>Pending verification</t>
        </is>
      </c>
    </row>
    <row r="3">
      <c r="A3" t="inlineStr">
        <is>
          <t>AAPL</t>
        </is>
      </c>
      <c r="H3" t="inlineStr">
        <is>
          <t>Pending verification</t>
        </is>
      </c>
    </row>
    <row r="4">
      <c r="A4" t="inlineStr">
        <is>
          <t>AAPL</t>
        </is>
      </c>
      <c r="H4" t="inlineStr">
        <is>
          <t>Pending verification</t>
        </is>
      </c>
    </row>
    <row r="5">
      <c r="A5" t="inlineStr">
        <is>
          <t>AAPL</t>
        </is>
      </c>
      <c r="H5" t="inlineStr">
        <is>
          <t>Pending verification</t>
        </is>
      </c>
    </row>
    <row r="6">
      <c r="A6" t="inlineStr">
        <is>
          <t>AAPL</t>
        </is>
      </c>
      <c r="H6" t="inlineStr">
        <is>
          <t>Pending verification</t>
        </is>
      </c>
    </row>
    <row r="7">
      <c r="A7" t="inlineStr">
        <is>
          <t>AAPL</t>
        </is>
      </c>
      <c r="H7" t="inlineStr">
        <is>
          <t>Pending verification</t>
        </is>
      </c>
    </row>
    <row r="8">
      <c r="A8" t="inlineStr">
        <is>
          <t>AAPL</t>
        </is>
      </c>
      <c r="H8" t="inlineStr">
        <is>
          <t>Pending verification</t>
        </is>
      </c>
    </row>
    <row r="9">
      <c r="A9" t="inlineStr">
        <is>
          <t>MSFT</t>
        </is>
      </c>
      <c r="H9" t="inlineStr">
        <is>
          <t>Pending verification</t>
        </is>
      </c>
    </row>
    <row r="10">
      <c r="A10" t="inlineStr">
        <is>
          <t>MSFT</t>
        </is>
      </c>
      <c r="H10" t="inlineStr">
        <is>
          <t>Pending verification</t>
        </is>
      </c>
    </row>
    <row r="11">
      <c r="A11" t="inlineStr">
        <is>
          <t>MSFT</t>
        </is>
      </c>
      <c r="H11" t="inlineStr">
        <is>
          <t>Pending verification</t>
        </is>
      </c>
    </row>
    <row r="12">
      <c r="A12" t="inlineStr">
        <is>
          <t>MSFT</t>
        </is>
      </c>
      <c r="H12" t="inlineStr">
        <is>
          <t>Pending verification</t>
        </is>
      </c>
    </row>
    <row r="13">
      <c r="A13" t="inlineStr">
        <is>
          <t>MSFT</t>
        </is>
      </c>
      <c r="H13" t="inlineStr">
        <is>
          <t>Pending verification</t>
        </is>
      </c>
    </row>
    <row r="14">
      <c r="A14" t="inlineStr">
        <is>
          <t>MSFT</t>
        </is>
      </c>
      <c r="H14" t="inlineStr">
        <is>
          <t>Pending verification</t>
        </is>
      </c>
    </row>
    <row r="15">
      <c r="A15" t="inlineStr">
        <is>
          <t>NVDA</t>
        </is>
      </c>
      <c r="H15" t="inlineStr">
        <is>
          <t>Pending verification</t>
        </is>
      </c>
    </row>
    <row r="16">
      <c r="A16" t="inlineStr">
        <is>
          <t>NVDA</t>
        </is>
      </c>
      <c r="H16" t="inlineStr">
        <is>
          <t>Pending verification</t>
        </is>
      </c>
    </row>
    <row r="17">
      <c r="A17" t="inlineStr">
        <is>
          <t>NVDA</t>
        </is>
      </c>
      <c r="H17" t="inlineStr">
        <is>
          <t>Pending verification</t>
        </is>
      </c>
    </row>
    <row r="18">
      <c r="A18" t="inlineStr">
        <is>
          <t>NVDA</t>
        </is>
      </c>
      <c r="H18" t="inlineStr">
        <is>
          <t>Pending verification</t>
        </is>
      </c>
    </row>
    <row r="19">
      <c r="A19" t="inlineStr">
        <is>
          <t>NVDA</t>
        </is>
      </c>
      <c r="H19" t="inlineStr">
        <is>
          <t>Pending verification</t>
        </is>
      </c>
    </row>
    <row r="20">
      <c r="A20" t="inlineStr">
        <is>
          <t>NVDA</t>
        </is>
      </c>
      <c r="H20" t="inlineStr">
        <is>
          <t>Pending verification</t>
        </is>
      </c>
    </row>
    <row r="21">
      <c r="A21" t="inlineStr">
        <is>
          <t>NVDA</t>
        </is>
      </c>
      <c r="H21" t="inlineStr">
        <is>
          <t>Pending verification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8" customWidth="1" min="3" max="3"/>
    <col width="18" customWidth="1" min="4" max="4"/>
    <col width="58" customWidth="1" min="5" max="5"/>
  </cols>
  <sheetData>
    <row r="1">
      <c r="A1" s="1" t="inlineStr">
        <is>
          <t>Target ticker</t>
        </is>
      </c>
      <c r="B1" s="1" t="inlineStr">
        <is>
          <t>Peer ticker</t>
        </is>
      </c>
      <c r="C1" s="1" t="inlineStr">
        <is>
          <t>Reason for comparability</t>
        </is>
      </c>
      <c r="D1" s="1" t="inlineStr">
        <is>
          <t>Include?</t>
        </is>
      </c>
      <c r="E1" s="1" t="inlineStr">
        <is>
          <t>Review notes</t>
        </is>
      </c>
    </row>
    <row r="2">
      <c r="A2" t="inlineStr">
        <is>
          <t>AAPL</t>
        </is>
      </c>
      <c r="B2" t="inlineStr">
        <is>
          <t>MSFT</t>
        </is>
      </c>
      <c r="C2" t="inlineStr">
        <is>
          <t>Large-cap platform / device ecosystem; not a perfect peer</t>
        </is>
      </c>
      <c r="D2" t="inlineStr">
        <is>
          <t>Review</t>
        </is>
      </c>
      <c r="E2" t="inlineStr">
        <is>
          <t>Consider hardware, services and ecosystem mix</t>
        </is>
      </c>
    </row>
    <row r="3">
      <c r="A3" t="inlineStr">
        <is>
          <t>AAPL</t>
        </is>
      </c>
      <c r="B3" t="inlineStr">
        <is>
          <t>DELL</t>
        </is>
      </c>
      <c r="C3" t="inlineStr">
        <is>
          <t>Hardware exposure; different business model</t>
        </is>
      </c>
      <c r="D3" t="inlineStr">
        <is>
          <t>Review</t>
        </is>
      </c>
      <c r="E3" t="inlineStr">
        <is>
          <t>Do not use without segment and margin context</t>
        </is>
      </c>
    </row>
    <row r="4">
      <c r="A4" t="inlineStr">
        <is>
          <t>AAPL</t>
        </is>
      </c>
      <c r="B4" t="inlineStr">
        <is>
          <t>HPQ</t>
        </is>
      </c>
      <c r="C4" t="inlineStr">
        <is>
          <t>Hardware exposure; different growth profile</t>
        </is>
      </c>
      <c r="D4" t="inlineStr">
        <is>
          <t>Review</t>
        </is>
      </c>
      <c r="E4" t="inlineStr">
        <is>
          <t>Potentially useful only for selected metrics</t>
        </is>
      </c>
    </row>
    <row r="5">
      <c r="A5" t="inlineStr">
        <is>
          <t>MSFT</t>
        </is>
      </c>
      <c r="B5" t="inlineStr">
        <is>
          <t>GOOGL</t>
        </is>
      </c>
      <c r="C5" t="inlineStr">
        <is>
          <t>Large-cap software / cloud / platform</t>
        </is>
      </c>
      <c r="D5" t="inlineStr">
        <is>
          <t>Review</t>
        </is>
      </c>
      <c r="E5" t="inlineStr">
        <is>
          <t>Business mix differs materially</t>
        </is>
      </c>
    </row>
    <row r="6">
      <c r="A6" t="inlineStr">
        <is>
          <t>MSFT</t>
        </is>
      </c>
      <c r="B6" t="inlineStr">
        <is>
          <t>ORCL</t>
        </is>
      </c>
      <c r="C6" t="inlineStr">
        <is>
          <t>Enterprise software / cloud</t>
        </is>
      </c>
      <c r="D6" t="inlineStr">
        <is>
          <t>Review</t>
        </is>
      </c>
      <c r="E6" t="inlineStr">
        <is>
          <t>Compare recurring revenue and margins</t>
        </is>
      </c>
    </row>
    <row r="7">
      <c r="A7" t="inlineStr">
        <is>
          <t>MSFT</t>
        </is>
      </c>
      <c r="B7" t="inlineStr">
        <is>
          <t>AMZN</t>
        </is>
      </c>
      <c r="C7" t="inlineStr">
        <is>
          <t>Cloud overlap; retail mix distorts consolidated margins</t>
        </is>
      </c>
      <c r="D7" t="inlineStr">
        <is>
          <t>Review</t>
        </is>
      </c>
      <c r="E7" t="inlineStr">
        <is>
          <t>Use segment-level AWS comparison if possible</t>
        </is>
      </c>
    </row>
    <row r="8">
      <c r="A8" t="inlineStr">
        <is>
          <t>NVDA</t>
        </is>
      </c>
      <c r="B8" t="inlineStr">
        <is>
          <t>AMD</t>
        </is>
      </c>
      <c r="C8" t="inlineStr">
        <is>
          <t>Semiconductor / accelerator competition</t>
        </is>
      </c>
      <c r="D8" t="inlineStr">
        <is>
          <t>Review</t>
        </is>
      </c>
      <c r="E8" t="inlineStr">
        <is>
          <t>Compare growth, gross margins, capex and cycles</t>
        </is>
      </c>
    </row>
    <row r="9">
      <c r="A9" t="inlineStr">
        <is>
          <t>NVDA</t>
        </is>
      </c>
      <c r="B9" t="inlineStr">
        <is>
          <t>AVGO</t>
        </is>
      </c>
      <c r="C9" t="inlineStr">
        <is>
          <t>Semiconductor / infrastructure exposure</t>
        </is>
      </c>
      <c r="D9" t="inlineStr">
        <is>
          <t>Review</t>
        </is>
      </c>
      <c r="E9" t="inlineStr">
        <is>
          <t>Business mix differs; explain adjustments</t>
        </is>
      </c>
    </row>
    <row r="10">
      <c r="A10" t="inlineStr">
        <is>
          <t>NVDA</t>
        </is>
      </c>
      <c r="B10" t="inlineStr">
        <is>
          <t>QCOM</t>
        </is>
      </c>
      <c r="C10" t="inlineStr">
        <is>
          <t>Semiconductor company; different end markets</t>
        </is>
      </c>
      <c r="D10" t="inlineStr">
        <is>
          <t>Review</t>
        </is>
      </c>
      <c r="E10" t="inlineStr">
        <is>
          <t>May be a weak peer for AI accelerators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5" customWidth="1" min="11" max="11"/>
    <col width="50" customWidth="1" min="12" max="12"/>
  </cols>
  <sheetData>
    <row r="1">
      <c r="A1" s="1" t="inlineStr">
        <is>
          <t>Ticker</t>
        </is>
      </c>
      <c r="B1" s="1" t="inlineStr">
        <is>
          <t>Fiscal year</t>
        </is>
      </c>
      <c r="C1" s="1" t="inlineStr">
        <is>
          <t>Revenue</t>
        </is>
      </c>
      <c r="D1" s="1" t="inlineStr">
        <is>
          <t>Revenue growth</t>
        </is>
      </c>
      <c r="E1" s="1" t="inlineStr">
        <is>
          <t>EBIT</t>
        </is>
      </c>
      <c r="F1" s="1" t="inlineStr">
        <is>
          <t>EBIT margin</t>
        </is>
      </c>
      <c r="G1" s="1" t="inlineStr">
        <is>
          <t>FCF</t>
        </is>
      </c>
      <c r="H1" s="1" t="inlineStr">
        <is>
          <t>FCF margin</t>
        </is>
      </c>
      <c r="I1" s="1" t="inlineStr">
        <is>
          <t>Capex</t>
        </is>
      </c>
      <c r="J1" s="1" t="inlineStr">
        <is>
          <t>D&amp;A</t>
        </is>
      </c>
      <c r="K1" s="1" t="inlineStr">
        <is>
          <t>Source URL</t>
        </is>
      </c>
      <c r="L1" s="1" t="inlineStr">
        <is>
          <t>Analyst notes</t>
        </is>
      </c>
    </row>
    <row r="2">
      <c r="L2" t="inlineStr">
        <is>
          <t>Populate from annual reports; do not treat blanks as zero.</t>
        </is>
      </c>
    </row>
    <row r="3">
      <c r="L3" t="inlineStr">
        <is>
          <t>Populate from annual reports; do not treat blanks as zero.</t>
        </is>
      </c>
    </row>
    <row r="4">
      <c r="L4" t="inlineStr">
        <is>
          <t>Populate from annual reports; do not treat blanks as zero.</t>
        </is>
      </c>
    </row>
    <row r="5">
      <c r="L5" t="inlineStr">
        <is>
          <t>Populate from annual reports; do not treat blanks as zero.</t>
        </is>
      </c>
    </row>
    <row r="6">
      <c r="L6" t="inlineStr">
        <is>
          <t>Populate from annual reports; do not treat blanks as zero.</t>
        </is>
      </c>
    </row>
    <row r="7">
      <c r="L7" t="inlineStr">
        <is>
          <t>Populate from annual reports; do not treat blanks as zero.</t>
        </is>
      </c>
    </row>
    <row r="8">
      <c r="L8" t="inlineStr">
        <is>
          <t>Populate from annual reports; do not treat blanks as zero.</t>
        </is>
      </c>
    </row>
    <row r="9">
      <c r="L9" t="inlineStr">
        <is>
          <t>Populate from annual reports; do not treat blanks as zero.</t>
        </is>
      </c>
    </row>
    <row r="10">
      <c r="L10" t="inlineStr">
        <is>
          <t>Populate from annual reports; do not treat blanks as zero.</t>
        </is>
      </c>
    </row>
    <row r="11">
      <c r="L11" t="inlineStr">
        <is>
          <t>Populate from annual reports; do not treat blanks as zero.</t>
        </is>
      </c>
    </row>
    <row r="12">
      <c r="L12" t="inlineStr">
        <is>
          <t>Populate from annual reports; do not treat blanks as zero.</t>
        </is>
      </c>
    </row>
    <row r="13">
      <c r="L13" t="inlineStr">
        <is>
          <t>Populate from annual reports; do not treat blanks as zero.</t>
        </is>
      </c>
    </row>
    <row r="14">
      <c r="L14" t="inlineStr">
        <is>
          <t>Populate from annual reports; do not treat blanks as zero.</t>
        </is>
      </c>
    </row>
    <row r="15">
      <c r="L15" t="inlineStr">
        <is>
          <t>Populate from annual reports; do not treat blanks as zero.</t>
        </is>
      </c>
    </row>
    <row r="16">
      <c r="L16" t="inlineStr">
        <is>
          <t>Populate from annual reports; do not treat blanks as zero.</t>
        </is>
      </c>
    </row>
    <row r="17">
      <c r="L17" t="inlineStr">
        <is>
          <t>Populate from annual reports; do not treat blanks as zero.</t>
        </is>
      </c>
    </row>
    <row r="18">
      <c r="L18" t="inlineStr">
        <is>
          <t>Populate from annual reports; do not treat blanks as zero.</t>
        </is>
      </c>
    </row>
    <row r="19">
      <c r="L19" t="inlineStr">
        <is>
          <t>Populate from annual reports; do not treat blanks as zero.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8" customWidth="1" min="4" max="4"/>
    <col width="15" customWidth="1" min="5" max="5"/>
    <col width="20" customWidth="1" min="6" max="6"/>
    <col width="22" customWidth="1" min="7" max="7"/>
    <col width="20" customWidth="1" min="8" max="8"/>
    <col width="55" customWidth="1" min="9" max="9"/>
  </cols>
  <sheetData>
    <row r="1">
      <c r="A1" s="1" t="inlineStr">
        <is>
          <t>Ticker</t>
        </is>
      </c>
      <c r="B1" s="1" t="inlineStr">
        <is>
          <t>Scenario</t>
        </is>
      </c>
      <c r="C1" s="1" t="inlineStr">
        <is>
          <t>Revenue growth</t>
        </is>
      </c>
      <c r="D1" s="1" t="inlineStr">
        <is>
          <t>EBIT margin</t>
        </is>
      </c>
      <c r="E1" s="1" t="inlineStr">
        <is>
          <t>WACC</t>
        </is>
      </c>
      <c r="F1" s="1" t="inlineStr">
        <is>
          <t>Terminal growth</t>
        </is>
      </c>
      <c r="G1" s="1" t="inlineStr">
        <is>
          <t>Fair value/share</t>
        </is>
      </c>
      <c r="H1" s="1" t="inlineStr">
        <is>
          <t>Upside/downside</t>
        </is>
      </c>
      <c r="I1" s="1" t="inlineStr">
        <is>
          <t>Narrative / evidence</t>
        </is>
      </c>
    </row>
    <row r="2">
      <c r="A2" t="inlineStr">
        <is>
          <t>AAPL</t>
        </is>
      </c>
      <c r="B2" t="inlineStr">
        <is>
          <t>Bear</t>
        </is>
      </c>
      <c r="I2" t="inlineStr">
        <is>
          <t>Fill with model output and document evidence</t>
        </is>
      </c>
    </row>
    <row r="3">
      <c r="A3" t="inlineStr">
        <is>
          <t>AAPL</t>
        </is>
      </c>
      <c r="B3" t="inlineStr">
        <is>
          <t>Base</t>
        </is>
      </c>
      <c r="I3" t="inlineStr">
        <is>
          <t>Fill with model output and document evidence</t>
        </is>
      </c>
    </row>
    <row r="4">
      <c r="A4" t="inlineStr">
        <is>
          <t>AAPL</t>
        </is>
      </c>
      <c r="B4" t="inlineStr">
        <is>
          <t>Bull</t>
        </is>
      </c>
      <c r="I4" t="inlineStr">
        <is>
          <t>Fill with model output and document evidence</t>
        </is>
      </c>
    </row>
    <row r="5">
      <c r="A5" t="inlineStr">
        <is>
          <t>MSFT</t>
        </is>
      </c>
      <c r="B5" t="inlineStr">
        <is>
          <t>Bear</t>
        </is>
      </c>
      <c r="I5" t="inlineStr">
        <is>
          <t>Fill with model output and document evidence</t>
        </is>
      </c>
    </row>
    <row r="6">
      <c r="A6" t="inlineStr">
        <is>
          <t>MSFT</t>
        </is>
      </c>
      <c r="B6" t="inlineStr">
        <is>
          <t>Base</t>
        </is>
      </c>
      <c r="I6" t="inlineStr">
        <is>
          <t>Fill with model output and document evidence</t>
        </is>
      </c>
    </row>
    <row r="7">
      <c r="A7" t="inlineStr">
        <is>
          <t>MSFT</t>
        </is>
      </c>
      <c r="B7" t="inlineStr">
        <is>
          <t>Bull</t>
        </is>
      </c>
      <c r="I7" t="inlineStr">
        <is>
          <t>Fill with model output and document evidence</t>
        </is>
      </c>
    </row>
    <row r="8">
      <c r="A8" t="inlineStr">
        <is>
          <t>NVDA</t>
        </is>
      </c>
      <c r="B8" t="inlineStr">
        <is>
          <t>Bear</t>
        </is>
      </c>
      <c r="I8" t="inlineStr">
        <is>
          <t>Fill with model output and document evidence</t>
        </is>
      </c>
    </row>
    <row r="9">
      <c r="A9" t="inlineStr">
        <is>
          <t>NVDA</t>
        </is>
      </c>
      <c r="B9" t="inlineStr">
        <is>
          <t>Base</t>
        </is>
      </c>
      <c r="I9" t="inlineStr">
        <is>
          <t>Fill with model output and document evidence</t>
        </is>
      </c>
    </row>
    <row r="10">
      <c r="A10" t="inlineStr">
        <is>
          <t>NVDA</t>
        </is>
      </c>
      <c r="B10" t="inlineStr">
        <is>
          <t>Bull</t>
        </is>
      </c>
      <c r="I10" t="inlineStr">
        <is>
          <t>Fill with model output and document evidence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80" customWidth="1" min="3" max="3"/>
    <col width="65" customWidth="1" min="4" max="4"/>
  </cols>
  <sheetData>
    <row r="1">
      <c r="A1" s="1" t="inlineStr">
        <is>
          <t>Control</t>
        </is>
      </c>
      <c r="B1" s="1" t="inlineStr">
        <is>
          <t>Required standard</t>
        </is>
      </c>
      <c r="C1" s="1" t="inlineStr">
        <is>
          <t>Status</t>
        </is>
      </c>
      <c r="D1" s="1" t="inlineStr">
        <is>
          <t>Evidence / action</t>
        </is>
      </c>
    </row>
    <row r="2">
      <c r="A2" s="7" t="inlineStr">
        <is>
          <t>Data timestamp</t>
        </is>
      </c>
      <c r="B2" s="7" t="inlineStr">
        <is>
          <t>Every market and financial input has as-of date and source</t>
        </is>
      </c>
      <c r="C2" s="7" t="inlineStr">
        <is>
          <t>Pending</t>
        </is>
      </c>
      <c r="D2" s="7" t="inlineStr">
        <is>
          <t>Complete Source Log</t>
        </is>
      </c>
    </row>
    <row r="3">
      <c r="A3" s="7" t="inlineStr">
        <is>
          <t>Units / currency</t>
        </is>
      </c>
      <c r="B3" s="7" t="inlineStr">
        <is>
          <t>All inputs reconciled to USD bn and USD/share, or converted explicitly</t>
        </is>
      </c>
      <c r="C3" s="7" t="inlineStr">
        <is>
          <t>Pending</t>
        </is>
      </c>
      <c r="D3" s="7" t="inlineStr">
        <is>
          <t>Check each provider field</t>
        </is>
      </c>
    </row>
    <row r="4">
      <c r="A4" s="7" t="inlineStr">
        <is>
          <t>Fiscal period</t>
        </is>
      </c>
      <c r="B4" s="7" t="inlineStr">
        <is>
          <t>Financial statement values all refer to matching fiscal periods</t>
        </is>
      </c>
      <c r="C4" s="7" t="inlineStr">
        <is>
          <t>Pending</t>
        </is>
      </c>
      <c r="D4" s="7" t="inlineStr">
        <is>
          <t>Check annual vs quarterly and restatements</t>
        </is>
      </c>
    </row>
    <row r="5">
      <c r="A5" s="7" t="inlineStr">
        <is>
          <t>Diluted shares</t>
        </is>
      </c>
      <c r="B5" s="7" t="inlineStr">
        <is>
          <t>Shares used are diluted and appropriate for valuation date</t>
        </is>
      </c>
      <c r="C5" s="7" t="inlineStr">
        <is>
          <t>Pending</t>
        </is>
      </c>
      <c r="D5" s="7" t="inlineStr">
        <is>
          <t>Review filing / provider</t>
        </is>
      </c>
    </row>
    <row r="6">
      <c r="A6" s="7" t="inlineStr">
        <is>
          <t>Debt and leases</t>
        </is>
      </c>
      <c r="B6" s="7" t="inlineStr">
        <is>
          <t>Debt definition consistent; state whether leases included</t>
        </is>
      </c>
      <c r="C6" s="7" t="inlineStr">
        <is>
          <t>Pending</t>
        </is>
      </c>
      <c r="D6" s="7" t="inlineStr">
        <is>
          <t>Document policy</t>
        </is>
      </c>
    </row>
    <row r="7">
      <c r="A7" s="7" t="inlineStr">
        <is>
          <t>Stock-based compensation</t>
        </is>
      </c>
      <c r="B7" s="7" t="inlineStr">
        <is>
          <t>Consider dilution and whether SBC is reflected consistently in cash flow</t>
        </is>
      </c>
      <c r="C7" s="7" t="inlineStr">
        <is>
          <t>Pending</t>
        </is>
      </c>
      <c r="D7" s="7" t="inlineStr">
        <is>
          <t>Add dilution schedule if material</t>
        </is>
      </c>
    </row>
    <row r="8">
      <c r="A8" s="7" t="inlineStr">
        <is>
          <t>WACC</t>
        </is>
      </c>
      <c r="B8" s="7" t="inlineStr">
        <is>
          <t>Risk-free rate, beta, ERP, cost of debt and weights sourced</t>
        </is>
      </c>
      <c r="C8" s="7" t="inlineStr">
        <is>
          <t>Pending</t>
        </is>
      </c>
      <c r="D8" s="7" t="inlineStr">
        <is>
          <t>Document sources and dates</t>
        </is>
      </c>
    </row>
    <row r="9">
      <c r="A9" s="7" t="inlineStr">
        <is>
          <t>Terminal value</t>
        </is>
      </c>
      <c r="B9" s="7" t="inlineStr">
        <is>
          <t>WACC &gt; terminal growth; TV/EV ratio reviewed</t>
        </is>
      </c>
      <c r="C9" s="7" t="inlineStr">
        <is>
          <t>Pending</t>
        </is>
      </c>
      <c r="D9" s="7" t="inlineStr">
        <is>
          <t>Run sensitivities</t>
        </is>
      </c>
    </row>
    <row r="10">
      <c r="A10" s="7" t="inlineStr">
        <is>
          <t>Reverse solver</t>
        </is>
      </c>
      <c r="B10" s="7" t="inlineStr">
        <is>
          <t>Implied growth/margin is bracketed and has a valid solution</t>
        </is>
      </c>
      <c r="C10" s="7" t="inlineStr">
        <is>
          <t>Pending</t>
        </is>
      </c>
      <c r="D10" s="7" t="inlineStr">
        <is>
          <t>Report no solution when none exists</t>
        </is>
      </c>
    </row>
    <row r="11">
      <c r="A11" s="7" t="inlineStr">
        <is>
          <t>Peer set</t>
        </is>
      </c>
      <c r="B11" s="7" t="inlineStr">
        <is>
          <t>Each peer has a business-model rationale</t>
        </is>
      </c>
      <c r="C11" s="7" t="inlineStr">
        <is>
          <t>Pending</t>
        </is>
      </c>
      <c r="D11" s="7" t="inlineStr">
        <is>
          <t>Review Peer Sets tab</t>
        </is>
      </c>
    </row>
    <row r="12">
      <c r="A12" s="7" t="inlineStr">
        <is>
          <t>One-offs</t>
        </is>
      </c>
      <c r="B12" s="7" t="inlineStr">
        <is>
          <t>Normalize restructuring, impairments, unusual tax and working capital</t>
        </is>
      </c>
      <c r="C12" s="7" t="inlineStr">
        <is>
          <t>Pending</t>
        </is>
      </c>
      <c r="D12" s="7" t="inlineStr">
        <is>
          <t>Reconcile annual filings</t>
        </is>
      </c>
    </row>
    <row r="13">
      <c r="A13" s="7" t="inlineStr">
        <is>
          <t>Validation tests</t>
        </is>
      </c>
      <c r="B13" s="7" t="inlineStr">
        <is>
          <t>Unit tests pass and Excel/Python outputs reconcile</t>
        </is>
      </c>
      <c r="C13" s="7" t="inlineStr">
        <is>
          <t>Pending</t>
        </is>
      </c>
      <c r="D13" s="7" t="inlineStr">
        <is>
          <t>Run tests and comparison</t>
        </is>
      </c>
    </row>
    <row r="14">
      <c r="A14" s="7" t="inlineStr">
        <is>
          <t>Memo sign-off</t>
        </is>
      </c>
      <c r="B14" s="7" t="inlineStr">
        <is>
          <t>Investment conclusion includes risks and evidence against thesis</t>
        </is>
      </c>
      <c r="C14" s="7" t="inlineStr">
        <is>
          <t>Pending</t>
        </is>
      </c>
      <c r="D14" s="7" t="inlineStr">
        <is>
          <t>Complete one-page memo</t>
        </is>
      </c>
    </row>
    <row r="15">
      <c r="A15" t="inlineStr">
        <is>
          <t>Live data pipeline</t>
        </is>
      </c>
      <c r="B15" t="inlineStr">
        <is>
          <t>Not validated in build environment</t>
        </is>
      </c>
      <c r="C15" t="inlineStr">
        <is>
          <t>Install requirements; run AAPL/MSFT/NVDA; inspect raw statements and source metadata.</t>
        </is>
      </c>
    </row>
    <row r="16">
      <c r="A16" t="inlineStr">
        <is>
          <t>Python unit tests</t>
        </is>
      </c>
      <c r="B16" t="inlineStr">
        <is>
          <t>PASS: 9 tests</t>
        </is>
      </c>
      <c r="C16" t="inlineStr">
        <is>
          <t>Re-run python -m unittest -v after changes.</t>
        </is>
      </c>
    </row>
    <row r="17">
      <c r="A17" t="inlineStr">
        <is>
          <t>Peer multiples</t>
        </is>
      </c>
      <c r="B17" t="inlineStr">
        <is>
          <t>Proxy only</t>
        </is>
      </c>
      <c r="C17" t="inlineStr">
        <is>
          <t>Verify EV bridge and peer comparability against filings/market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2026-10-14T12:22:25Z</dcterms:created>
  <dcterms:modified xmlns:dcterms="http://purl.org/dc/terms/" xmlns:xsi="http://www.w3.org/2001/XMLSchema-instance" xsi:type="dcterms:W3CDTF">2026-10-14T15:12:45Z</dcterms:modified>
</cp:coreProperties>
</file>